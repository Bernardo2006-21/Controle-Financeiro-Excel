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ccd8ef90ef3992/Documentos/"/>
    </mc:Choice>
  </mc:AlternateContent>
  <xr:revisionPtr revIDLastSave="0" documentId="8_{EA396DB8-3878-486B-AABA-1596BAEC3A55}" xr6:coauthVersionLast="47" xr6:coauthVersionMax="47" xr10:uidLastSave="{00000000-0000-0000-0000-000000000000}"/>
  <bookViews>
    <workbookView xWindow="-108" yWindow="-108" windowWidth="23256" windowHeight="12456" activeTab="2" xr2:uid="{C16B759E-0656-4E29-B4CD-E1926F2E3468}"/>
  </bookViews>
  <sheets>
    <sheet name="Dados" sheetId="1" r:id="rId1"/>
    <sheet name="Análise" sheetId="2" r:id="rId2"/>
    <sheet name="Dashbord" sheetId="3" r:id="rId3"/>
  </sheets>
  <calcPr calcId="191029"/>
  <pivotCaches>
    <pivotCache cacheId="50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sharedStrings.xml><?xml version="1.0" encoding="utf-8"?>
<sst xmlns="http://schemas.openxmlformats.org/spreadsheetml/2006/main" count="74" uniqueCount="37">
  <si>
    <t>Data</t>
  </si>
  <si>
    <t xml:space="preserve">Categoria </t>
  </si>
  <si>
    <t>Tipo</t>
  </si>
  <si>
    <t>Descrição</t>
  </si>
  <si>
    <t>Valor</t>
  </si>
  <si>
    <t xml:space="preserve">Salário </t>
  </si>
  <si>
    <t>Renda extra</t>
  </si>
  <si>
    <t>Alimentação</t>
  </si>
  <si>
    <t>Aluguel</t>
  </si>
  <si>
    <t xml:space="preserve">Internet </t>
  </si>
  <si>
    <t xml:space="preserve">Conta de luz </t>
  </si>
  <si>
    <t xml:space="preserve">Água </t>
  </si>
  <si>
    <t xml:space="preserve">Farmácia </t>
  </si>
  <si>
    <t>Venda de produto</t>
  </si>
  <si>
    <t xml:space="preserve">Freelancer </t>
  </si>
  <si>
    <t>Juros/rendimentos</t>
  </si>
  <si>
    <t>Delivery</t>
  </si>
  <si>
    <t>Academia</t>
  </si>
  <si>
    <t xml:space="preserve">Streming </t>
  </si>
  <si>
    <t>Parcela carro</t>
  </si>
  <si>
    <t>Parcela moto</t>
  </si>
  <si>
    <t>Suplementação</t>
  </si>
  <si>
    <t>Receita</t>
  </si>
  <si>
    <t>Despesa</t>
  </si>
  <si>
    <t>Saúde</t>
  </si>
  <si>
    <t>Lazer</t>
  </si>
  <si>
    <t>Moradia</t>
  </si>
  <si>
    <t>Transporte</t>
  </si>
  <si>
    <t xml:space="preserve">Análise de Despesas e Receitas </t>
  </si>
  <si>
    <t>Total Despesas</t>
  </si>
  <si>
    <t>Saldo</t>
  </si>
  <si>
    <t>Total Receitas</t>
  </si>
  <si>
    <t>Rótulos de Linha</t>
  </si>
  <si>
    <t>Total Geral</t>
  </si>
  <si>
    <t>Rótulos de Coluna</t>
  </si>
  <si>
    <t>Soma de Valor</t>
  </si>
  <si>
    <t xml:space="preserve">      CONTROLE FINANCEIRO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</si>
</sst>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rgb="FFF8F8F8"/>
      <name val="Calibri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b/>
      <sz val="3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2" fillId="2" borderId="1" xfId="1" applyNumberFormat="1" applyFont="1" applyFill="1" applyBorder="1" applyAlignment="1">
      <alignment horizontal="center"/>
    </xf>
    <xf numFmtId="44" fontId="2" fillId="0" borderId="1" xfId="1" applyNumberFormat="1" applyFont="1" applyBorder="1" applyAlignment="1">
      <alignment horizontal="center"/>
    </xf>
    <xf numFmtId="0" fontId="0" fillId="4" borderId="0" xfId="0" applyFill="1"/>
    <xf numFmtId="0" fontId="6" fillId="4" borderId="0" xfId="0" applyFont="1" applyFill="1" applyAlignment="1">
      <alignment horizontal="center"/>
    </xf>
    <xf numFmtId="0" fontId="5" fillId="4" borderId="0" xfId="0" applyFont="1" applyFill="1" applyBorder="1" applyAlignment="1">
      <alignment horizontal="center"/>
    </xf>
    <xf numFmtId="44" fontId="4" fillId="4" borderId="0" xfId="1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</cellXfs>
  <cellStyles count="2">
    <cellStyle name="Moeda" xfId="1" builtinId="4"/>
    <cellStyle name="Normal" xfId="0" builtinId="0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[Controle­_financeiro_dashbord.xlsx]Análise!Tabela dinâmica22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</a:t>
            </a:r>
            <a:r>
              <a:rPr lang="pt-BR" baseline="0"/>
              <a:t> de Receitas e  Despesas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Análise!$B$3:$B$4</c:f>
              <c:strCache>
                <c:ptCount val="1"/>
                <c:pt idx="0">
                  <c:v>Despesa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Análise!$A$5:$A$11</c:f>
              <c:strCache>
                <c:ptCount val="6"/>
                <c:pt idx="0">
                  <c:v>Alimentação</c:v>
                </c:pt>
                <c:pt idx="1">
                  <c:v>Lazer</c:v>
                </c:pt>
                <c:pt idx="2">
                  <c:v>Moradia</c:v>
                </c:pt>
                <c:pt idx="3">
                  <c:v>Receita</c:v>
                </c:pt>
                <c:pt idx="4">
                  <c:v>Saúde</c:v>
                </c:pt>
                <c:pt idx="5">
                  <c:v>Transporte</c:v>
                </c:pt>
              </c:strCache>
            </c:strRef>
          </c:cat>
          <c:val>
            <c:numRef>
              <c:f>Análise!$B$5:$B$11</c:f>
              <c:numCache>
                <c:formatCode>_("R$"* #,##0.00_);_("R$"* \(#,##0.00\);_("R$"* "-"??_);_(@_)</c:formatCode>
                <c:ptCount val="6"/>
                <c:pt idx="0">
                  <c:v>880</c:v>
                </c:pt>
                <c:pt idx="1">
                  <c:v>49.9</c:v>
                </c:pt>
                <c:pt idx="2">
                  <c:v>1510</c:v>
                </c:pt>
                <c:pt idx="4">
                  <c:v>290</c:v>
                </c:pt>
                <c:pt idx="5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F-4894-9C1B-8155771202D5}"/>
            </c:ext>
          </c:extLst>
        </c:ser>
        <c:ser>
          <c:idx val="1"/>
          <c:order val="1"/>
          <c:tx>
            <c:strRef>
              <c:f>Análise!$C$3:$C$4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Análise!$A$5:$A$11</c:f>
              <c:strCache>
                <c:ptCount val="6"/>
                <c:pt idx="0">
                  <c:v>Alimentação</c:v>
                </c:pt>
                <c:pt idx="1">
                  <c:v>Lazer</c:v>
                </c:pt>
                <c:pt idx="2">
                  <c:v>Moradia</c:v>
                </c:pt>
                <c:pt idx="3">
                  <c:v>Receita</c:v>
                </c:pt>
                <c:pt idx="4">
                  <c:v>Saúde</c:v>
                </c:pt>
                <c:pt idx="5">
                  <c:v>Transporte</c:v>
                </c:pt>
              </c:strCache>
            </c:strRef>
          </c:cat>
          <c:val>
            <c:numRef>
              <c:f>Análise!$C$5:$C$11</c:f>
              <c:numCache>
                <c:formatCode>_("R$"* #,##0.00_);_("R$"* \(#,##0.00\);_("R$"* "-"??_);_(@_)</c:formatCode>
                <c:ptCount val="6"/>
                <c:pt idx="3">
                  <c:v>4943.8999999999996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F-4894-9C1B-815577120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738624"/>
        <c:axId val="1355733824"/>
      </c:barChart>
      <c:catAx>
        <c:axId val="13557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33824"/>
        <c:crosses val="autoZero"/>
        <c:auto val="1"/>
        <c:lblAlgn val="ctr"/>
        <c:lblOffset val="100"/>
        <c:noMultiLvlLbl val="0"/>
      </c:catAx>
      <c:valAx>
        <c:axId val="13557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3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[Controle­_financeiro_dashbord.xlsx]Análise!Tabela dinâmica22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/>
              <a:t>Análise</a:t>
            </a:r>
            <a:r>
              <a:rPr lang="pt-BR" sz="2400" baseline="0"/>
              <a:t> de Receitas e  Despesas</a:t>
            </a:r>
            <a:endParaRPr lang="pt-BR" sz="2400"/>
          </a:p>
        </c:rich>
      </c:tx>
      <c:layout>
        <c:manualLayout>
          <c:xMode val="edge"/>
          <c:yMode val="edge"/>
          <c:x val="0.2802785954619344"/>
          <c:y val="5.5581073205801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Análise!$B$3:$B$4</c:f>
              <c:strCache>
                <c:ptCount val="1"/>
                <c:pt idx="0">
                  <c:v>Despesa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Análise!$A$5:$A$11</c:f>
              <c:strCache>
                <c:ptCount val="6"/>
                <c:pt idx="0">
                  <c:v>Alimentação</c:v>
                </c:pt>
                <c:pt idx="1">
                  <c:v>Lazer</c:v>
                </c:pt>
                <c:pt idx="2">
                  <c:v>Moradia</c:v>
                </c:pt>
                <c:pt idx="3">
                  <c:v>Receita</c:v>
                </c:pt>
                <c:pt idx="4">
                  <c:v>Saúde</c:v>
                </c:pt>
                <c:pt idx="5">
                  <c:v>Transporte</c:v>
                </c:pt>
              </c:strCache>
            </c:strRef>
          </c:cat>
          <c:val>
            <c:numRef>
              <c:f>Análise!$B$5:$B$11</c:f>
              <c:numCache>
                <c:formatCode>_("R$"* #,##0.00_);_("R$"* \(#,##0.00\);_("R$"* "-"??_);_(@_)</c:formatCode>
                <c:ptCount val="6"/>
                <c:pt idx="0">
                  <c:v>880</c:v>
                </c:pt>
                <c:pt idx="1">
                  <c:v>49.9</c:v>
                </c:pt>
                <c:pt idx="2">
                  <c:v>1510</c:v>
                </c:pt>
                <c:pt idx="4">
                  <c:v>290</c:v>
                </c:pt>
                <c:pt idx="5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7-41BC-BDB9-27A8CBE0D951}"/>
            </c:ext>
          </c:extLst>
        </c:ser>
        <c:ser>
          <c:idx val="1"/>
          <c:order val="1"/>
          <c:tx>
            <c:strRef>
              <c:f>Análise!$C$3:$C$4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Análise!$A$5:$A$11</c:f>
              <c:strCache>
                <c:ptCount val="6"/>
                <c:pt idx="0">
                  <c:v>Alimentação</c:v>
                </c:pt>
                <c:pt idx="1">
                  <c:v>Lazer</c:v>
                </c:pt>
                <c:pt idx="2">
                  <c:v>Moradia</c:v>
                </c:pt>
                <c:pt idx="3">
                  <c:v>Receita</c:v>
                </c:pt>
                <c:pt idx="4">
                  <c:v>Saúde</c:v>
                </c:pt>
                <c:pt idx="5">
                  <c:v>Transporte</c:v>
                </c:pt>
              </c:strCache>
            </c:strRef>
          </c:cat>
          <c:val>
            <c:numRef>
              <c:f>Análise!$C$5:$C$11</c:f>
              <c:numCache>
                <c:formatCode>_("R$"* #,##0.00_);_("R$"* \(#,##0.00\);_("R$"* "-"??_);_(@_)</c:formatCode>
                <c:ptCount val="6"/>
                <c:pt idx="3">
                  <c:v>4943.8999999999996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7-41BC-BDB9-27A8CBE0D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738624"/>
        <c:axId val="1355733824"/>
      </c:barChart>
      <c:catAx>
        <c:axId val="13557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33824"/>
        <c:crosses val="autoZero"/>
        <c:auto val="1"/>
        <c:lblAlgn val="ctr"/>
        <c:lblOffset val="100"/>
        <c:noMultiLvlLbl val="0"/>
      </c:catAx>
      <c:valAx>
        <c:axId val="13557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73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19050</xdr:rowOff>
    </xdr:from>
    <xdr:to>
      <xdr:col>13</xdr:col>
      <xdr:colOff>396240</xdr:colOff>
      <xdr:row>22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BFE8F7-ABA2-4DFB-13AB-5147BE734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590005</xdr:colOff>
      <xdr:row>7</xdr:row>
      <xdr:rowOff>97973</xdr:rowOff>
    </xdr:from>
    <xdr:to>
      <xdr:col>18</xdr:col>
      <xdr:colOff>239485</xdr:colOff>
      <xdr:row>37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878B30-E1F3-4203-A6D4-A930163E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94703</xdr:colOff>
      <xdr:row>2</xdr:row>
      <xdr:rowOff>169816</xdr:rowOff>
    </xdr:from>
    <xdr:to>
      <xdr:col>12</xdr:col>
      <xdr:colOff>408245</xdr:colOff>
      <xdr:row>6</xdr:row>
      <xdr:rowOff>65314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5838F57-27A4-62DD-1AF6-4CF98B456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989" y="953587"/>
          <a:ext cx="3971142" cy="1473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nardo Ramos" refreshedDate="46143.440478472221" createdVersion="8" refreshedVersion="8" minRefreshableVersion="3" recordCount="17" xr:uid="{341A2347-1D03-4940-83D4-072151F52FFA}">
  <cacheSource type="worksheet">
    <worksheetSource name="Tabela2"/>
  </cacheSource>
  <cacheFields count="5">
    <cacheField name="Data" numFmtId="14">
      <sharedItems containsSemiMixedTypes="0" containsNonDate="0" containsDate="1" containsString="0" minDate="2026-01-01T00:00:00" maxDate="2026-01-18T00:00:00"/>
    </cacheField>
    <cacheField name="Descrição" numFmtId="0">
      <sharedItems/>
    </cacheField>
    <cacheField name="Categoria " numFmtId="0">
      <sharedItems count="6">
        <s v="Receita"/>
        <s v="Alimentação"/>
        <s v="Saúde"/>
        <s v="Moradia"/>
        <s v="Transporte"/>
        <s v="Lazer"/>
      </sharedItems>
    </cacheField>
    <cacheField name="Tipo" numFmtId="0">
      <sharedItems count="2">
        <s v="Receita"/>
        <s v="Despesa"/>
      </sharedItems>
    </cacheField>
    <cacheField name="Valor" numFmtId="44">
      <sharedItems containsSemiMixedTypes="0" containsString="0" containsNumber="1" minValue="49.9" maxValue="330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d v="2026-01-01T00:00:00"/>
    <s v="Salário "/>
    <x v="0"/>
    <x v="0"/>
    <n v="3300.9"/>
  </r>
  <r>
    <d v="2026-01-02T00:00:00"/>
    <s v="Renda extra"/>
    <x v="0"/>
    <x v="0"/>
    <n v="500"/>
  </r>
  <r>
    <d v="2026-01-03T00:00:00"/>
    <s v="Venda de produto"/>
    <x v="0"/>
    <x v="0"/>
    <n v="200"/>
  </r>
  <r>
    <d v="2026-01-04T00:00:00"/>
    <s v="Freelancer "/>
    <x v="0"/>
    <x v="0"/>
    <n v="800"/>
  </r>
  <r>
    <d v="2026-01-05T00:00:00"/>
    <s v="Juros/rendimentos"/>
    <x v="0"/>
    <x v="0"/>
    <n v="143"/>
  </r>
  <r>
    <d v="2026-01-06T00:00:00"/>
    <s v="Delivery"/>
    <x v="1"/>
    <x v="1"/>
    <n v="80"/>
  </r>
  <r>
    <d v="2026-01-07T00:00:00"/>
    <s v="Academia"/>
    <x v="2"/>
    <x v="1"/>
    <n v="100"/>
  </r>
  <r>
    <d v="2026-01-08T00:00:00"/>
    <s v="Suplementação"/>
    <x v="2"/>
    <x v="1"/>
    <n v="120"/>
  </r>
  <r>
    <d v="2026-01-09T00:00:00"/>
    <s v="Alimentação"/>
    <x v="1"/>
    <x v="1"/>
    <n v="800"/>
  </r>
  <r>
    <d v="2026-01-10T00:00:00"/>
    <s v="Aluguel"/>
    <x v="3"/>
    <x v="1"/>
    <n v="1200"/>
  </r>
  <r>
    <d v="2026-01-11T00:00:00"/>
    <s v="Internet "/>
    <x v="3"/>
    <x v="1"/>
    <n v="100"/>
  </r>
  <r>
    <d v="2026-01-12T00:00:00"/>
    <s v="Conta de luz "/>
    <x v="3"/>
    <x v="1"/>
    <n v="130"/>
  </r>
  <r>
    <d v="2026-01-13T00:00:00"/>
    <s v="Água "/>
    <x v="3"/>
    <x v="1"/>
    <n v="80"/>
  </r>
  <r>
    <d v="2026-01-14T00:00:00"/>
    <s v="Farmácia "/>
    <x v="2"/>
    <x v="1"/>
    <n v="70"/>
  </r>
  <r>
    <d v="2026-01-15T00:00:00"/>
    <s v="Parcela carro"/>
    <x v="4"/>
    <x v="1"/>
    <n v="400"/>
  </r>
  <r>
    <d v="2026-01-16T00:00:00"/>
    <s v="Parcela moto"/>
    <x v="4"/>
    <x v="1"/>
    <n v="310"/>
  </r>
  <r>
    <d v="2026-01-17T00:00:00"/>
    <s v="Streming "/>
    <x v="5"/>
    <x v="1"/>
    <n v="4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A03DE-4514-4761-9122-1F0EC29919AF}" name="Tabela dinâmica22" cacheId="5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3:D11" firstHeaderRow="1" firstDataRow="2" firstDataCol="1"/>
  <pivotFields count="5">
    <pivotField numFmtId="14" showAll="0"/>
    <pivotField showAll="0"/>
    <pivotField axis="axisRow" showAll="0">
      <items count="7">
        <item x="1"/>
        <item x="5"/>
        <item x="3"/>
        <item x="0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  <pivotField dataField="1" numFmtId="4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a de Valor" fld="4" baseField="0" baseItem="0" numFmtId="44"/>
  </dataFields>
  <formats count="1">
    <format dxfId="0">
      <pivotArea type="all" dataOnly="0" outline="0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090B4B-ABD3-450E-9297-30EB6BAF6B38}" name="Tabela2" displayName="Tabela2" ref="A3:E20" totalsRowShown="0" headerRowDxfId="1" dataDxfId="7">
  <autoFilter ref="A3:E20" xr:uid="{63090B4B-ABD3-450E-9297-30EB6BAF6B38}"/>
  <tableColumns count="5">
    <tableColumn id="1" xr3:uid="{1E0380B6-193B-4F82-9AAA-5105A19DD68E}" name="Data" dataDxfId="6"/>
    <tableColumn id="2" xr3:uid="{25999167-9914-4EC4-AD3D-E69109E8BD84}" name="Descrição" dataDxfId="5"/>
    <tableColumn id="3" xr3:uid="{D3560882-4DEF-4307-A551-E26EF9C2BDBC}" name="Categoria " dataDxfId="4"/>
    <tableColumn id="4" xr3:uid="{7142C10E-B412-471A-8A6A-A001A850955C}" name="Tipo" dataDxfId="3"/>
    <tableColumn id="5" xr3:uid="{B1FA2B35-DA28-4CDC-A6ED-F10781FAB0A2}" name="Valor" dataDxfId="2" dataCellStyle="Moed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2ED5-4273-483D-BD06-924257C95B96}">
  <dimension ref="A1:H20"/>
  <sheetViews>
    <sheetView showGridLines="0" workbookViewId="0">
      <selection activeCell="B29" sqref="B29"/>
    </sheetView>
  </sheetViews>
  <sheetFormatPr defaultRowHeight="14.4" x14ac:dyDescent="0.3"/>
  <cols>
    <col min="1" max="1" width="15.21875" customWidth="1"/>
    <col min="2" max="2" width="20.33203125" customWidth="1"/>
    <col min="3" max="3" width="13" customWidth="1"/>
    <col min="4" max="4" width="13.6640625" customWidth="1"/>
    <col min="5" max="5" width="18.109375" customWidth="1"/>
    <col min="6" max="6" width="5.21875" bestFit="1" customWidth="1"/>
    <col min="7" max="7" width="13.33203125" bestFit="1" customWidth="1"/>
    <col min="8" max="8" width="11.88671875" bestFit="1" customWidth="1"/>
  </cols>
  <sheetData>
    <row r="1" spans="1:8" ht="18" x14ac:dyDescent="0.35">
      <c r="A1" s="2" t="s">
        <v>28</v>
      </c>
      <c r="B1" s="3"/>
      <c r="C1" s="3"/>
      <c r="D1" s="3"/>
      <c r="E1" s="3"/>
      <c r="F1" s="1"/>
      <c r="G1" s="1"/>
      <c r="H1" s="1"/>
    </row>
    <row r="2" spans="1:8" ht="5.4" customHeight="1" x14ac:dyDescent="0.3">
      <c r="A2" s="4"/>
      <c r="B2" s="4"/>
      <c r="C2" s="4"/>
      <c r="D2" s="4"/>
      <c r="E2" s="4"/>
      <c r="F2" s="1"/>
      <c r="G2" s="1"/>
      <c r="H2" s="1"/>
    </row>
    <row r="3" spans="1:8" x14ac:dyDescent="0.3">
      <c r="A3" s="5" t="s">
        <v>0</v>
      </c>
      <c r="B3" s="6" t="s">
        <v>3</v>
      </c>
      <c r="C3" s="6" t="s">
        <v>1</v>
      </c>
      <c r="D3" s="6" t="s">
        <v>2</v>
      </c>
      <c r="E3" s="6" t="s">
        <v>4</v>
      </c>
      <c r="F3" s="1"/>
      <c r="G3" s="1"/>
      <c r="H3" s="1"/>
    </row>
    <row r="4" spans="1:8" x14ac:dyDescent="0.3">
      <c r="A4" s="7">
        <v>46023</v>
      </c>
      <c r="B4" s="8" t="s">
        <v>5</v>
      </c>
      <c r="C4" s="8" t="s">
        <v>22</v>
      </c>
      <c r="D4" s="8" t="s">
        <v>22</v>
      </c>
      <c r="E4" s="9">
        <v>3300.9</v>
      </c>
      <c r="F4" s="1"/>
      <c r="G4" s="10" t="s">
        <v>31</v>
      </c>
      <c r="H4" s="11">
        <f>SUMIF(D:D,"receita",E:E)</f>
        <v>4943.8999999999996</v>
      </c>
    </row>
    <row r="5" spans="1:8" x14ac:dyDescent="0.3">
      <c r="A5" s="7">
        <v>46024</v>
      </c>
      <c r="B5" s="8" t="s">
        <v>6</v>
      </c>
      <c r="C5" s="8" t="s">
        <v>22</v>
      </c>
      <c r="D5" s="8" t="s">
        <v>22</v>
      </c>
      <c r="E5" s="9">
        <v>500</v>
      </c>
      <c r="F5" s="1"/>
      <c r="G5" s="8" t="s">
        <v>29</v>
      </c>
      <c r="H5" s="12">
        <f>SUMIF(D:D,"despesa",E:E)</f>
        <v>3439.9</v>
      </c>
    </row>
    <row r="6" spans="1:8" x14ac:dyDescent="0.3">
      <c r="A6" s="7">
        <v>46025</v>
      </c>
      <c r="B6" s="8" t="s">
        <v>13</v>
      </c>
      <c r="C6" s="8" t="s">
        <v>22</v>
      </c>
      <c r="D6" s="8" t="s">
        <v>22</v>
      </c>
      <c r="E6" s="9">
        <v>200</v>
      </c>
      <c r="F6" s="1"/>
      <c r="G6" s="10" t="s">
        <v>30</v>
      </c>
      <c r="H6" s="11">
        <f>H4-H5</f>
        <v>1503.9999999999995</v>
      </c>
    </row>
    <row r="7" spans="1:8" x14ac:dyDescent="0.3">
      <c r="A7" s="7">
        <v>46026</v>
      </c>
      <c r="B7" s="8" t="s">
        <v>14</v>
      </c>
      <c r="C7" s="8" t="s">
        <v>22</v>
      </c>
      <c r="D7" s="8" t="s">
        <v>22</v>
      </c>
      <c r="E7" s="9">
        <v>800</v>
      </c>
      <c r="F7" s="1"/>
      <c r="G7" s="1"/>
      <c r="H7" s="1"/>
    </row>
    <row r="8" spans="1:8" x14ac:dyDescent="0.3">
      <c r="A8" s="7">
        <v>46027</v>
      </c>
      <c r="B8" s="8" t="s">
        <v>15</v>
      </c>
      <c r="C8" s="8" t="s">
        <v>22</v>
      </c>
      <c r="D8" s="8" t="s">
        <v>22</v>
      </c>
      <c r="E8" s="9">
        <v>143</v>
      </c>
      <c r="F8" s="1"/>
      <c r="G8" s="1"/>
      <c r="H8" s="1"/>
    </row>
    <row r="9" spans="1:8" x14ac:dyDescent="0.3">
      <c r="A9" s="7">
        <v>46028</v>
      </c>
      <c r="B9" s="8" t="s">
        <v>16</v>
      </c>
      <c r="C9" s="8" t="s">
        <v>7</v>
      </c>
      <c r="D9" s="8" t="s">
        <v>23</v>
      </c>
      <c r="E9" s="9">
        <v>80</v>
      </c>
      <c r="F9" s="1"/>
      <c r="G9" s="1"/>
      <c r="H9" s="1"/>
    </row>
    <row r="10" spans="1:8" x14ac:dyDescent="0.3">
      <c r="A10" s="7">
        <v>46029</v>
      </c>
      <c r="B10" s="8" t="s">
        <v>17</v>
      </c>
      <c r="C10" s="8" t="s">
        <v>24</v>
      </c>
      <c r="D10" s="8" t="s">
        <v>23</v>
      </c>
      <c r="E10" s="9">
        <v>100</v>
      </c>
      <c r="F10" s="1"/>
      <c r="G10" s="1"/>
      <c r="H10" s="1"/>
    </row>
    <row r="11" spans="1:8" x14ac:dyDescent="0.3">
      <c r="A11" s="7">
        <v>46030</v>
      </c>
      <c r="B11" s="8" t="s">
        <v>21</v>
      </c>
      <c r="C11" s="8" t="s">
        <v>24</v>
      </c>
      <c r="D11" s="8" t="s">
        <v>23</v>
      </c>
      <c r="E11" s="9">
        <v>120</v>
      </c>
      <c r="F11" s="1"/>
      <c r="G11" s="1"/>
      <c r="H11" s="1"/>
    </row>
    <row r="12" spans="1:8" x14ac:dyDescent="0.3">
      <c r="A12" s="7">
        <v>46031</v>
      </c>
      <c r="B12" s="8" t="s">
        <v>7</v>
      </c>
      <c r="C12" s="8" t="s">
        <v>7</v>
      </c>
      <c r="D12" s="8" t="s">
        <v>23</v>
      </c>
      <c r="E12" s="9">
        <v>800</v>
      </c>
      <c r="F12" s="1"/>
      <c r="G12" s="1"/>
      <c r="H12" s="1"/>
    </row>
    <row r="13" spans="1:8" x14ac:dyDescent="0.3">
      <c r="A13" s="7">
        <v>46032</v>
      </c>
      <c r="B13" s="8" t="s">
        <v>8</v>
      </c>
      <c r="C13" s="8" t="s">
        <v>26</v>
      </c>
      <c r="D13" s="8" t="s">
        <v>23</v>
      </c>
      <c r="E13" s="9">
        <v>1200</v>
      </c>
      <c r="F13" s="1"/>
      <c r="G13" s="1"/>
      <c r="H13" s="1"/>
    </row>
    <row r="14" spans="1:8" x14ac:dyDescent="0.3">
      <c r="A14" s="7">
        <v>46033</v>
      </c>
      <c r="B14" s="8" t="s">
        <v>9</v>
      </c>
      <c r="C14" s="8" t="s">
        <v>26</v>
      </c>
      <c r="D14" s="8" t="s">
        <v>23</v>
      </c>
      <c r="E14" s="9">
        <v>100</v>
      </c>
      <c r="F14" s="1"/>
      <c r="G14" s="1"/>
      <c r="H14" s="1"/>
    </row>
    <row r="15" spans="1:8" x14ac:dyDescent="0.3">
      <c r="A15" s="7">
        <v>46034</v>
      </c>
      <c r="B15" s="8" t="s">
        <v>10</v>
      </c>
      <c r="C15" s="8" t="s">
        <v>26</v>
      </c>
      <c r="D15" s="8" t="s">
        <v>23</v>
      </c>
      <c r="E15" s="9">
        <v>130</v>
      </c>
      <c r="F15" s="1"/>
      <c r="G15" s="1"/>
      <c r="H15" s="1"/>
    </row>
    <row r="16" spans="1:8" x14ac:dyDescent="0.3">
      <c r="A16" s="7">
        <v>46035</v>
      </c>
      <c r="B16" s="8" t="s">
        <v>11</v>
      </c>
      <c r="C16" s="8" t="s">
        <v>26</v>
      </c>
      <c r="D16" s="8" t="s">
        <v>23</v>
      </c>
      <c r="E16" s="9">
        <v>80</v>
      </c>
      <c r="F16" s="1"/>
      <c r="G16" s="1"/>
      <c r="H16" s="1"/>
    </row>
    <row r="17" spans="1:8" x14ac:dyDescent="0.3">
      <c r="A17" s="7">
        <v>46036</v>
      </c>
      <c r="B17" s="8" t="s">
        <v>12</v>
      </c>
      <c r="C17" s="8" t="s">
        <v>24</v>
      </c>
      <c r="D17" s="8" t="s">
        <v>23</v>
      </c>
      <c r="E17" s="9">
        <v>70</v>
      </c>
      <c r="F17" s="1"/>
      <c r="G17" s="1"/>
      <c r="H17" s="1"/>
    </row>
    <row r="18" spans="1:8" x14ac:dyDescent="0.3">
      <c r="A18" s="7">
        <v>46037</v>
      </c>
      <c r="B18" s="8" t="s">
        <v>19</v>
      </c>
      <c r="C18" s="8" t="s">
        <v>27</v>
      </c>
      <c r="D18" s="8" t="s">
        <v>23</v>
      </c>
      <c r="E18" s="9">
        <v>400</v>
      </c>
      <c r="F18" s="1"/>
      <c r="G18" s="1"/>
      <c r="H18" s="1"/>
    </row>
    <row r="19" spans="1:8" x14ac:dyDescent="0.3">
      <c r="A19" s="7">
        <v>46038</v>
      </c>
      <c r="B19" s="8" t="s">
        <v>20</v>
      </c>
      <c r="C19" s="8" t="s">
        <v>27</v>
      </c>
      <c r="D19" s="8" t="s">
        <v>23</v>
      </c>
      <c r="E19" s="9">
        <v>310</v>
      </c>
      <c r="F19" s="1"/>
      <c r="G19" s="1"/>
      <c r="H19" s="1"/>
    </row>
    <row r="20" spans="1:8" x14ac:dyDescent="0.3">
      <c r="A20" s="7">
        <v>46039</v>
      </c>
      <c r="B20" s="8" t="s">
        <v>18</v>
      </c>
      <c r="C20" s="8" t="s">
        <v>25</v>
      </c>
      <c r="D20" s="8" t="s">
        <v>23</v>
      </c>
      <c r="E20" s="9">
        <v>49.9</v>
      </c>
      <c r="F20" s="1"/>
      <c r="G20" s="1"/>
      <c r="H20" s="1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A7BF-EC12-4903-8838-A3B08C336AA0}">
  <dimension ref="A3:D11"/>
  <sheetViews>
    <sheetView showGridLines="0" workbookViewId="0">
      <selection activeCell="B14" sqref="B14"/>
    </sheetView>
  </sheetViews>
  <sheetFormatPr defaultRowHeight="14.4" x14ac:dyDescent="0.3"/>
  <cols>
    <col min="1" max="1" width="21.6640625" customWidth="1"/>
    <col min="2" max="2" width="23.6640625" customWidth="1"/>
    <col min="3" max="3" width="18.33203125" customWidth="1"/>
    <col min="4" max="4" width="16" customWidth="1"/>
  </cols>
  <sheetData>
    <row r="3" spans="1:4" x14ac:dyDescent="0.3">
      <c r="A3" s="17" t="s">
        <v>35</v>
      </c>
      <c r="B3" s="17" t="s">
        <v>34</v>
      </c>
      <c r="C3" s="6"/>
      <c r="D3" s="6"/>
    </row>
    <row r="4" spans="1:4" x14ac:dyDescent="0.3">
      <c r="A4" s="17" t="s">
        <v>32</v>
      </c>
      <c r="B4" s="6" t="s">
        <v>23</v>
      </c>
      <c r="C4" s="6" t="s">
        <v>22</v>
      </c>
      <c r="D4" s="6" t="s">
        <v>33</v>
      </c>
    </row>
    <row r="5" spans="1:4" x14ac:dyDescent="0.3">
      <c r="A5" s="18" t="s">
        <v>7</v>
      </c>
      <c r="B5" s="19">
        <v>880</v>
      </c>
      <c r="C5" s="19"/>
      <c r="D5" s="19">
        <v>880</v>
      </c>
    </row>
    <row r="6" spans="1:4" x14ac:dyDescent="0.3">
      <c r="A6" s="18" t="s">
        <v>25</v>
      </c>
      <c r="B6" s="19">
        <v>49.9</v>
      </c>
      <c r="C6" s="19"/>
      <c r="D6" s="19">
        <v>49.9</v>
      </c>
    </row>
    <row r="7" spans="1:4" x14ac:dyDescent="0.3">
      <c r="A7" s="18" t="s">
        <v>26</v>
      </c>
      <c r="B7" s="19">
        <v>1510</v>
      </c>
      <c r="C7" s="19"/>
      <c r="D7" s="19">
        <v>1510</v>
      </c>
    </row>
    <row r="8" spans="1:4" x14ac:dyDescent="0.3">
      <c r="A8" s="18" t="s">
        <v>22</v>
      </c>
      <c r="B8" s="19"/>
      <c r="C8" s="19">
        <v>4943.8999999999996</v>
      </c>
      <c r="D8" s="19">
        <v>4943.8999999999996</v>
      </c>
    </row>
    <row r="9" spans="1:4" x14ac:dyDescent="0.3">
      <c r="A9" s="18" t="s">
        <v>24</v>
      </c>
      <c r="B9" s="19">
        <v>290</v>
      </c>
      <c r="C9" s="19"/>
      <c r="D9" s="19">
        <v>290</v>
      </c>
    </row>
    <row r="10" spans="1:4" x14ac:dyDescent="0.3">
      <c r="A10" s="18" t="s">
        <v>27</v>
      </c>
      <c r="B10" s="19">
        <v>710</v>
      </c>
      <c r="C10" s="19"/>
      <c r="D10" s="19">
        <v>710</v>
      </c>
    </row>
    <row r="11" spans="1:4" x14ac:dyDescent="0.3">
      <c r="A11" s="18" t="s">
        <v>33</v>
      </c>
      <c r="B11" s="19">
        <v>3439.9</v>
      </c>
      <c r="C11" s="19">
        <v>4943.8999999999996</v>
      </c>
      <c r="D11" s="19">
        <v>8383.7999999999993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A7D0-2092-4B1B-9329-C7B7D9E16348}">
  <dimension ref="B1:T6"/>
  <sheetViews>
    <sheetView showGridLines="0" tabSelected="1" zoomScale="70" zoomScaleNormal="70" workbookViewId="0">
      <selection activeCell="D4" sqref="D4"/>
    </sheetView>
  </sheetViews>
  <sheetFormatPr defaultRowHeight="14.4" x14ac:dyDescent="0.3"/>
  <cols>
    <col min="1" max="4" width="8.88671875" style="13"/>
    <col min="5" max="5" width="20.109375" style="13" bestFit="1" customWidth="1"/>
    <col min="6" max="6" width="24.44140625" style="13" customWidth="1"/>
    <col min="7" max="16384" width="8.88671875" style="13"/>
  </cols>
  <sheetData>
    <row r="1" spans="2:20" s="13" customFormat="1" ht="22.2" customHeight="1" x14ac:dyDescent="0.3"/>
    <row r="2" spans="2:20" s="13" customFormat="1" ht="39.6" customHeight="1" x14ac:dyDescent="0.85">
      <c r="B2" s="14" t="s">
        <v>36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2:20" s="13" customFormat="1" ht="35.4" customHeight="1" x14ac:dyDescent="0.3"/>
    <row r="4" spans="2:20" s="13" customFormat="1" ht="37.799999999999997" customHeight="1" x14ac:dyDescent="0.5">
      <c r="E4" s="15"/>
      <c r="F4" s="16"/>
    </row>
    <row r="5" spans="2:20" s="13" customFormat="1" ht="25.8" x14ac:dyDescent="0.5">
      <c r="E5" s="15"/>
      <c r="F5" s="16"/>
    </row>
    <row r="6" spans="2:20" s="13" customFormat="1" ht="25.8" x14ac:dyDescent="0.5">
      <c r="E6" s="15"/>
      <c r="F6" s="16"/>
    </row>
  </sheetData>
  <sheetProtection algorithmName="SHA-512" hashValue="YkLCsRWhLoVUIU44+lnmNwn5QWML0RXxHpncG/hDYIuKxZJjBVTvxz7699yAsbiwKZsX7Ram/IRfVmruKjqlUQ==" saltValue="VIza0XXNng3/urL4nQ3X+w==" spinCount="100000" sheet="1" objects="1" scenarios="1" selectLockedCells="1" selectUnlockedCells="1"/>
  <mergeCells count="1">
    <mergeCell ref="B2:T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Análise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Ramos</dc:creator>
  <cp:lastModifiedBy>Bernardo Ramos</cp:lastModifiedBy>
  <cp:lastPrinted>2026-05-01T13:17:09Z</cp:lastPrinted>
  <dcterms:created xsi:type="dcterms:W3CDTF">2026-05-01T12:53:44Z</dcterms:created>
  <dcterms:modified xsi:type="dcterms:W3CDTF">2026-05-01T14:39:03Z</dcterms:modified>
</cp:coreProperties>
</file>